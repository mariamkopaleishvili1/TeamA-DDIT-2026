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DDIT\"/>
    </mc:Choice>
  </mc:AlternateContent>
  <xr:revisionPtr revIDLastSave="0" documentId="13_ncr:1_{48922BA6-E360-4603-AD38-9FF6A5050AA1}" xr6:coauthVersionLast="47" xr6:coauthVersionMax="47" xr10:uidLastSave="{00000000-0000-0000-0000-000000000000}"/>
  <bookViews>
    <workbookView xWindow="22932" yWindow="-108" windowWidth="19416" windowHeight="10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8" i="1" l="1"/>
  <c r="S50" i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D62" i="1"/>
  <c r="U51" i="1"/>
  <c r="U54" i="1" s="1"/>
  <c r="C63" i="1" s="1"/>
  <c r="C64" i="1" s="1"/>
  <c r="C66" i="1" s="1"/>
  <c r="V3" i="1"/>
  <c r="W3" i="1" s="1"/>
  <c r="X3" i="1" s="1"/>
  <c r="Y3" i="1" s="1"/>
  <c r="Z3" i="1" s="1"/>
  <c r="AA3" i="1" s="1"/>
  <c r="D13" i="1"/>
  <c r="F13" i="1"/>
  <c r="E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U13" i="1"/>
  <c r="W39" i="1"/>
  <c r="W41" i="1" s="1"/>
  <c r="X41" i="1" s="1"/>
  <c r="V39" i="1"/>
  <c r="V41" i="1" s="1"/>
  <c r="U39" i="1"/>
  <c r="U41" i="1" s="1"/>
  <c r="T39" i="1"/>
  <c r="T41" i="1" s="1"/>
  <c r="S39" i="1"/>
  <c r="S41" i="1" s="1"/>
  <c r="R39" i="1"/>
  <c r="R41" i="1" s="1"/>
  <c r="Q39" i="1"/>
  <c r="Q41" i="1" s="1"/>
  <c r="P39" i="1"/>
  <c r="P41" i="1" s="1"/>
  <c r="O39" i="1"/>
  <c r="O41" i="1" s="1"/>
  <c r="W38" i="1"/>
  <c r="V38" i="1"/>
  <c r="U38" i="1"/>
  <c r="T38" i="1"/>
  <c r="S38" i="1"/>
  <c r="R38" i="1"/>
  <c r="Q38" i="1"/>
  <c r="P38" i="1"/>
  <c r="O38" i="1"/>
  <c r="W37" i="1"/>
  <c r="V37" i="1"/>
  <c r="U37" i="1"/>
  <c r="T37" i="1"/>
  <c r="S37" i="1"/>
  <c r="R37" i="1"/>
  <c r="Q37" i="1"/>
  <c r="P37" i="1"/>
  <c r="O37" i="1"/>
  <c r="W36" i="1"/>
  <c r="V36" i="1"/>
  <c r="U36" i="1"/>
  <c r="T36" i="1"/>
  <c r="S36" i="1"/>
  <c r="R36" i="1"/>
  <c r="Q36" i="1"/>
  <c r="P36" i="1"/>
  <c r="O36" i="1"/>
  <c r="D63" i="1" l="1"/>
  <c r="D64" i="1" s="1"/>
  <c r="D66" i="1" s="1"/>
  <c r="V43" i="1"/>
  <c r="W43" i="1"/>
  <c r="Y41" i="1"/>
  <c r="U43" i="1"/>
  <c r="P43" i="1"/>
  <c r="R43" i="1"/>
  <c r="S43" i="1"/>
  <c r="T43" i="1"/>
  <c r="Q43" i="1"/>
  <c r="U20" i="1"/>
  <c r="T20" i="1"/>
  <c r="S20" i="1"/>
  <c r="R20" i="1"/>
  <c r="Q20" i="1"/>
  <c r="P20" i="1"/>
  <c r="O20" i="1"/>
  <c r="U19" i="1"/>
  <c r="T19" i="1"/>
  <c r="S19" i="1"/>
  <c r="R19" i="1"/>
  <c r="Q19" i="1"/>
  <c r="P19" i="1"/>
  <c r="O19" i="1"/>
  <c r="N17" i="1"/>
  <c r="N20" i="1" s="1"/>
  <c r="M17" i="1"/>
  <c r="M20" i="1" s="1"/>
  <c r="L17" i="1"/>
  <c r="L20" i="1" s="1"/>
  <c r="K17" i="1"/>
  <c r="K20" i="1" s="1"/>
  <c r="J17" i="1"/>
  <c r="J20" i="1" s="1"/>
  <c r="I17" i="1"/>
  <c r="I20" i="1" s="1"/>
  <c r="H17" i="1"/>
  <c r="H20" i="1" s="1"/>
  <c r="G17" i="1"/>
  <c r="G20" i="1" s="1"/>
  <c r="F17" i="1"/>
  <c r="F20" i="1" s="1"/>
  <c r="E17" i="1"/>
  <c r="E20" i="1" s="1"/>
  <c r="D17" i="1"/>
  <c r="D20" i="1" s="1"/>
  <c r="C17" i="1"/>
  <c r="C20" i="1" s="1"/>
  <c r="C16" i="1"/>
  <c r="C19" i="1" s="1"/>
  <c r="D16" i="1"/>
  <c r="D19" i="1" s="1"/>
  <c r="E16" i="1"/>
  <c r="E19" i="1" s="1"/>
  <c r="F16" i="1"/>
  <c r="F19" i="1" s="1"/>
  <c r="G16" i="1"/>
  <c r="G19" i="1" s="1"/>
  <c r="H16" i="1"/>
  <c r="H19" i="1" s="1"/>
  <c r="I16" i="1"/>
  <c r="I19" i="1" s="1"/>
  <c r="J16" i="1"/>
  <c r="J19" i="1" s="1"/>
  <c r="K16" i="1"/>
  <c r="K19" i="1" s="1"/>
  <c r="L16" i="1"/>
  <c r="L19" i="1" s="1"/>
  <c r="M16" i="1"/>
  <c r="M19" i="1" s="1"/>
  <c r="N16" i="1"/>
  <c r="N19" i="1" s="1"/>
  <c r="C4" i="1"/>
  <c r="D4" i="1"/>
  <c r="E4" i="1"/>
  <c r="F4" i="1"/>
  <c r="H4" i="1"/>
  <c r="I4" i="1"/>
  <c r="J4" i="1"/>
  <c r="G4" i="1"/>
  <c r="E63" i="1" l="1"/>
  <c r="E64" i="1" s="1"/>
  <c r="E66" i="1" s="1"/>
  <c r="U22" i="1"/>
  <c r="V22" i="1" s="1"/>
  <c r="Z41" i="1"/>
  <c r="R22" i="1"/>
  <c r="R46" i="1" s="1"/>
  <c r="R56" i="1" s="1"/>
  <c r="Q22" i="1"/>
  <c r="S22" i="1"/>
  <c r="Q46" i="1"/>
  <c r="Q56" i="1" s="1"/>
  <c r="T22" i="1"/>
  <c r="T24" i="1" s="1"/>
  <c r="O22" i="1"/>
  <c r="O46" i="1" s="1"/>
  <c r="O56" i="1" s="1"/>
  <c r="P22" i="1"/>
  <c r="F63" i="1" l="1"/>
  <c r="F64" i="1" s="1"/>
  <c r="F66" i="1" s="1"/>
  <c r="R48" i="1"/>
  <c r="AA41" i="1"/>
  <c r="W22" i="1"/>
  <c r="V46" i="1"/>
  <c r="V56" i="1" s="1"/>
  <c r="R24" i="1"/>
  <c r="P46" i="1"/>
  <c r="P24" i="1"/>
  <c r="T46" i="1"/>
  <c r="T56" i="1" s="1"/>
  <c r="U46" i="1"/>
  <c r="U24" i="1"/>
  <c r="Q24" i="1"/>
  <c r="S46" i="1"/>
  <c r="S24" i="1"/>
  <c r="U48" i="1" l="1"/>
  <c r="U56" i="1"/>
  <c r="P48" i="1"/>
  <c r="P56" i="1"/>
  <c r="S48" i="1"/>
  <c r="S56" i="1"/>
  <c r="G63" i="1"/>
  <c r="G64" i="1" s="1"/>
  <c r="G66" i="1" s="1"/>
  <c r="T48" i="1"/>
  <c r="V48" i="1"/>
  <c r="Q48" i="1"/>
  <c r="X22" i="1"/>
  <c r="W46" i="1"/>
  <c r="H63" i="1" l="1"/>
  <c r="H64" i="1" s="1"/>
  <c r="H66" i="1" s="1"/>
  <c r="U57" i="1"/>
  <c r="W48" i="1"/>
  <c r="W56" i="1"/>
  <c r="Y22" i="1"/>
  <c r="X46" i="1"/>
  <c r="X48" i="1" l="1"/>
  <c r="X56" i="1"/>
  <c r="I63" i="1"/>
  <c r="I64" i="1" s="1"/>
  <c r="I66" i="1" s="1"/>
  <c r="Z22" i="1"/>
  <c r="Y46" i="1"/>
  <c r="Y48" i="1" l="1"/>
  <c r="Y56" i="1"/>
  <c r="J63" i="1"/>
  <c r="J64" i="1" s="1"/>
  <c r="J66" i="1" s="1"/>
  <c r="AA22" i="1"/>
  <c r="AA46" i="1" s="1"/>
  <c r="AA56" i="1" s="1"/>
  <c r="Z46" i="1"/>
  <c r="Z48" i="1" l="1"/>
  <c r="Z56" i="1"/>
  <c r="K63" i="1"/>
  <c r="K64" i="1" s="1"/>
  <c r="K66" i="1" s="1"/>
  <c r="AA48" i="1"/>
  <c r="L63" i="1" l="1"/>
  <c r="L64" i="1" s="1"/>
  <c r="L66" i="1" s="1"/>
  <c r="M63" i="1" l="1"/>
  <c r="M64" i="1" s="1"/>
  <c r="M66" i="1" s="1"/>
  <c r="N63" i="1" l="1"/>
  <c r="N64" i="1" s="1"/>
  <c r="N66" i="1" s="1"/>
  <c r="O63" i="1" l="1"/>
  <c r="O64" i="1" s="1"/>
  <c r="O66" i="1" s="1"/>
  <c r="P63" i="1" l="1"/>
  <c r="P64" i="1" s="1"/>
  <c r="P66" i="1" s="1"/>
  <c r="Q63" i="1" l="1"/>
  <c r="Q64" i="1" s="1"/>
  <c r="Q66" i="1" s="1"/>
  <c r="R63" i="1" l="1"/>
  <c r="R64" i="1" s="1"/>
  <c r="R66" i="1" s="1"/>
  <c r="S63" i="1" l="1"/>
  <c r="S64" i="1" s="1"/>
  <c r="S66" i="1" s="1"/>
  <c r="T63" i="1" l="1"/>
  <c r="T64" i="1" s="1"/>
  <c r="T66" i="1" s="1"/>
  <c r="U63" i="1" l="1"/>
  <c r="U64" i="1" s="1"/>
  <c r="U66" i="1" s="1"/>
  <c r="W63" i="1" l="1"/>
  <c r="W64" i="1" s="1"/>
  <c r="W66" i="1" s="1"/>
  <c r="V63" i="1"/>
  <c r="V64" i="1" s="1"/>
  <c r="V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V3" authorId="0" shapeId="0" xr:uid="{AE5CEE51-FE20-4B16-81D3-0BAC94134E05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Assuming 15% CAGR
</t>
        </r>
      </text>
    </comment>
  </commentList>
</comments>
</file>

<file path=xl/sharedStrings.xml><?xml version="1.0" encoding="utf-8"?>
<sst xmlns="http://schemas.openxmlformats.org/spreadsheetml/2006/main" count="58" uniqueCount="40">
  <si>
    <t>Turnover of enterprises engaged in gambling and betting activities.
*From 2018 turnover is the amount of bets made by the players each time.</t>
  </si>
  <si>
    <t>(Million Gel)</t>
  </si>
  <si>
    <t>Production value of enterprises engaged in gambling and betting activities</t>
  </si>
  <si>
    <t>Average number of empoyed in enterprises engaged in gambling and betting activities</t>
  </si>
  <si>
    <t>Average number of empoyees in enterprises engaged in gambling and betting activities</t>
  </si>
  <si>
    <t>Average monthly remuneration of employed persons in enterprises engaged in gambling and betting activities</t>
  </si>
  <si>
    <t>Value added of enterprises engaged in gambling and betting activities</t>
  </si>
  <si>
    <t>(Gel)</t>
  </si>
  <si>
    <t>(Person)</t>
  </si>
  <si>
    <t>Personel cost of enterprises engaged in gambling and betting activities</t>
  </si>
  <si>
    <t>Total purchases of goods and services of enterprises engaged in gambling and betting activities</t>
  </si>
  <si>
    <t>Investment in fixed assets of enterprises engaged in gambling and betting activities</t>
  </si>
  <si>
    <t>(Thousand Gel)</t>
  </si>
  <si>
    <t>Galt &amp; Taggart Revenue (Brokerage fees and commission income)</t>
  </si>
  <si>
    <t>TBC Capital Revenue (Brokerage fees and commission income)</t>
  </si>
  <si>
    <t>Estimated Crypto Revenue Landscape in Georgia (US$ '000)</t>
  </si>
  <si>
    <t>Cryptocurrencies</t>
  </si>
  <si>
    <t>Decentralized Finance (DeFi)</t>
  </si>
  <si>
    <t>Non-fungible tokens (NFTs)</t>
  </si>
  <si>
    <t>Total Revenue</t>
  </si>
  <si>
    <t>GEL/USD exchange rate</t>
  </si>
  <si>
    <t>Estimated Total Turnover (@ 0.2% Fee)</t>
  </si>
  <si>
    <t>Estimated Crypto Revenue Landscape in Georgia (Gel '000,000)</t>
  </si>
  <si>
    <t>Total Segment Turnover (Million Gel)</t>
  </si>
  <si>
    <t>Turnover y/y</t>
  </si>
  <si>
    <t>Total y/y</t>
  </si>
  <si>
    <t>Estimated Total Turnover (@ 0.5% Fee)</t>
  </si>
  <si>
    <t>FORECAST</t>
  </si>
  <si>
    <t>Estimated Gamblers in Georgia (Thousand)</t>
  </si>
  <si>
    <t>Estimated Crypto owners in Georgia (Thousand)</t>
  </si>
  <si>
    <t>Estimated Stock owners in Georgia (Thousand)</t>
  </si>
  <si>
    <t>Total</t>
  </si>
  <si>
    <t>Turnover per User</t>
  </si>
  <si>
    <t>Average Turnover/User/Year</t>
  </si>
  <si>
    <t>Average Turnover/User/Month</t>
  </si>
  <si>
    <t># Users</t>
  </si>
  <si>
    <t>Adoption %</t>
  </si>
  <si>
    <t>Take rate</t>
  </si>
  <si>
    <t>Revenue (Gel/month) (Mn)</t>
  </si>
  <si>
    <t>Turnover (Gel/month) (Mn)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</si>
</sst>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74" formatCode="0.0%"/>
    <numFmt numFmtId="175" formatCode="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3" fontId="1" fillId="0" borderId="0" xfId="0" applyNumberFormat="1" applyFont="1" applyBorder="1"/>
    <xf numFmtId="164" fontId="1" fillId="0" borderId="0" xfId="0" applyNumberFormat="1" applyFont="1" applyBorder="1"/>
    <xf numFmtId="4" fontId="1" fillId="0" borderId="0" xfId="0" applyNumberFormat="1" applyFont="1" applyBorder="1"/>
    <xf numFmtId="2" fontId="1" fillId="0" borderId="0" xfId="0" applyNumberFormat="1" applyFont="1" applyBorder="1"/>
    <xf numFmtId="10" fontId="1" fillId="0" borderId="0" xfId="0" applyNumberFormat="1" applyFont="1" applyBorder="1"/>
    <xf numFmtId="9" fontId="1" fillId="0" borderId="0" xfId="0" applyNumberFormat="1" applyFont="1" applyBorder="1"/>
    <xf numFmtId="3" fontId="1" fillId="2" borderId="0" xfId="0" applyNumberFormat="1" applyFont="1" applyFill="1" applyBorder="1"/>
    <xf numFmtId="3" fontId="2" fillId="2" borderId="0" xfId="0" applyNumberFormat="1" applyFont="1" applyFill="1" applyBorder="1"/>
    <xf numFmtId="174" fontId="1" fillId="0" borderId="0" xfId="0" applyNumberFormat="1" applyFont="1" applyBorder="1"/>
    <xf numFmtId="0" fontId="2" fillId="0" borderId="0" xfId="0" applyFont="1" applyBorder="1"/>
    <xf numFmtId="3" fontId="2" fillId="2" borderId="0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/>
    <xf numFmtId="175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Gambling &amp; Betting Turnover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Sheet1!$O$2:$AA$2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Sheet1!$O$3:$AA$3</c:f>
              <c:numCache>
                <c:formatCode>#,##0</c:formatCode>
                <c:ptCount val="13"/>
                <c:pt idx="0">
                  <c:v>13806.8</c:v>
                </c:pt>
                <c:pt idx="1">
                  <c:v>25860</c:v>
                </c:pt>
                <c:pt idx="2">
                  <c:v>32091.3</c:v>
                </c:pt>
                <c:pt idx="3">
                  <c:v>47938.6</c:v>
                </c:pt>
                <c:pt idx="4">
                  <c:v>52647.4</c:v>
                </c:pt>
                <c:pt idx="5">
                  <c:v>63994</c:v>
                </c:pt>
                <c:pt idx="6">
                  <c:v>76155</c:v>
                </c:pt>
                <c:pt idx="7">
                  <c:v>87578.25</c:v>
                </c:pt>
                <c:pt idx="8">
                  <c:v>100714.98749999999</c:v>
                </c:pt>
                <c:pt idx="9">
                  <c:v>115822.23562499997</c:v>
                </c:pt>
                <c:pt idx="10">
                  <c:v>133195.57096874996</c:v>
                </c:pt>
                <c:pt idx="11">
                  <c:v>153174.90661406243</c:v>
                </c:pt>
                <c:pt idx="12">
                  <c:v>176151.14260617178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D-4260-940D-D35C4709FC3A}"/>
            </c:ext>
          </c:extLst>
        </c:ser>
        <c:ser>
          <c:idx val="1"/>
          <c:order val="1"/>
          <c:tx>
            <c:v>Brokerage Turnover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Sheet1!$O$2:$AA$2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Sheet1!$O$22:$AA$22</c:f>
              <c:numCache>
                <c:formatCode>#,##0</c:formatCode>
                <c:ptCount val="13"/>
                <c:pt idx="0">
                  <c:v>1524.3554999999999</c:v>
                </c:pt>
                <c:pt idx="1">
                  <c:v>2135.8484999999996</c:v>
                </c:pt>
                <c:pt idx="2">
                  <c:v>3700.4165000000003</c:v>
                </c:pt>
                <c:pt idx="3">
                  <c:v>4176.4155000000001</c:v>
                </c:pt>
                <c:pt idx="4">
                  <c:v>5861.5715</c:v>
                </c:pt>
                <c:pt idx="5">
                  <c:v>5685.0619999999999</c:v>
                </c:pt>
                <c:pt idx="6">
                  <c:v>9755.9</c:v>
                </c:pt>
                <c:pt idx="7">
                  <c:v>11707.08</c:v>
                </c:pt>
                <c:pt idx="8">
                  <c:v>14048.495999999999</c:v>
                </c:pt>
                <c:pt idx="9">
                  <c:v>16858.195199999998</c:v>
                </c:pt>
                <c:pt idx="10">
                  <c:v>20229.834239999996</c:v>
                </c:pt>
                <c:pt idx="11">
                  <c:v>24275.801087999997</c:v>
                </c:pt>
                <c:pt idx="12">
                  <c:v>29130.961305599994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D-4260-940D-D35C4709FC3A}"/>
            </c:ext>
          </c:extLst>
        </c:ser>
        <c:ser>
          <c:idx val="2"/>
          <c:order val="2"/>
          <c:tx>
            <c:v>Crypto Turnover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Sheet1!$O$2:$AA$2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Sheet1!$O$41:$AA$41</c:f>
              <c:numCache>
                <c:formatCode>#,##0</c:formatCode>
                <c:ptCount val="13"/>
                <c:pt idx="0">
                  <c:v>125.89268199233715</c:v>
                </c:pt>
                <c:pt idx="1">
                  <c:v>252.28827586206876</c:v>
                </c:pt>
                <c:pt idx="2">
                  <c:v>579.58701488549593</c:v>
                </c:pt>
                <c:pt idx="3">
                  <c:v>3083.4880735632164</c:v>
                </c:pt>
                <c:pt idx="4">
                  <c:v>1849.9400376923074</c:v>
                </c:pt>
                <c:pt idx="5">
                  <c:v>1531.5998015384605</c:v>
                </c:pt>
                <c:pt idx="6">
                  <c:v>5207.9607740457941</c:v>
                </c:pt>
                <c:pt idx="7">
                  <c:v>6352.7444643678155</c:v>
                </c:pt>
                <c:pt idx="8">
                  <c:v>6535.4304065217375</c:v>
                </c:pt>
                <c:pt idx="9">
                  <c:v>7842.5164878260848</c:v>
                </c:pt>
                <c:pt idx="10">
                  <c:v>9411.0197853913014</c:v>
                </c:pt>
                <c:pt idx="11">
                  <c:v>11293.223742469561</c:v>
                </c:pt>
                <c:pt idx="12">
                  <c:v>13551.868490963474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D-4260-940D-D35C4709F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652720"/>
        <c:axId val="796655600"/>
      </c:barChart>
      <c:dateAx>
        <c:axId val="796652720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55600"/>
        <c:crosses val="autoZero"/>
        <c:auto val="1"/>
        <c:lblOffset val="100"/>
        <c:baseTimeUnit val="years"/>
      </c:dateAx>
      <c:valAx>
        <c:axId val="7966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Georgian Market Potential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Turnover (Gel/month) (Mn)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Sheet1!$C$62:$W$62</c:f>
              <c:numCache>
                <c:formatCode>0.0%</c:formatCode>
                <c:ptCount val="21"/>
                <c:pt idx="0" formatCode="0.00%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4.5000000000000005E-2</c:v>
                </c:pt>
                <c:pt idx="5">
                  <c:v>5.5000000000000007E-2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8.4999999999999992E-2</c:v>
                </c:pt>
                <c:pt idx="9">
                  <c:v>9.4999999999999987E-2</c:v>
                </c:pt>
                <c:pt idx="10">
                  <c:v>0.10499999999999998</c:v>
                </c:pt>
                <c:pt idx="11">
                  <c:v>0.11499999999999998</c:v>
                </c:pt>
                <c:pt idx="12">
                  <c:v>0.12499999999999997</c:v>
                </c:pt>
                <c:pt idx="13">
                  <c:v>0.13499999999999998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0.17500000000000002</c:v>
                </c:pt>
                <c:pt idx="18">
                  <c:v>0.18500000000000003</c:v>
                </c:pt>
                <c:pt idx="19">
                  <c:v>0.19500000000000003</c:v>
                </c:pt>
                <c:pt idx="20">
                  <c:v>0.20500000000000004</c:v>
                </c:pt>
              </c:numCache>
            </c:numRef>
          </c:cat>
          <c:val>
            <c:numRef>
              <c:f>Sheet1!$C$66:$W$66</c:f>
              <c:numCache>
                <c:formatCode>0.00</c:formatCode>
                <c:ptCount val="21"/>
                <c:pt idx="0">
                  <c:v>0.21307346795213075</c:v>
                </c:pt>
                <c:pt idx="1">
                  <c:v>0.63922040385639212</c:v>
                </c:pt>
                <c:pt idx="2">
                  <c:v>1.0653673397606538</c:v>
                </c:pt>
                <c:pt idx="3">
                  <c:v>1.4915142756649156</c:v>
                </c:pt>
                <c:pt idx="4">
                  <c:v>1.9176612115691765</c:v>
                </c:pt>
                <c:pt idx="5">
                  <c:v>2.3438081474734385</c:v>
                </c:pt>
                <c:pt idx="6">
                  <c:v>2.7699550833776998</c:v>
                </c:pt>
                <c:pt idx="7">
                  <c:v>3.1961020192819611</c:v>
                </c:pt>
                <c:pt idx="8">
                  <c:v>3.6222489551862225</c:v>
                </c:pt>
                <c:pt idx="9">
                  <c:v>4.0483958910904834</c:v>
                </c:pt>
                <c:pt idx="10">
                  <c:v>4.4745428269947443</c:v>
                </c:pt>
                <c:pt idx="11">
                  <c:v>4.900689762899006</c:v>
                </c:pt>
                <c:pt idx="12">
                  <c:v>5.3268366988032678</c:v>
                </c:pt>
                <c:pt idx="13">
                  <c:v>5.7529836347075287</c:v>
                </c:pt>
                <c:pt idx="14">
                  <c:v>6.1791305706117923</c:v>
                </c:pt>
                <c:pt idx="15">
                  <c:v>6.6052775065160532</c:v>
                </c:pt>
                <c:pt idx="16">
                  <c:v>7.0314244424203149</c:v>
                </c:pt>
                <c:pt idx="17">
                  <c:v>7.4575713783245776</c:v>
                </c:pt>
                <c:pt idx="18">
                  <c:v>7.8837183142288385</c:v>
                </c:pt>
                <c:pt idx="19">
                  <c:v>8.3098652501330985</c:v>
                </c:pt>
                <c:pt idx="20">
                  <c:v>8.7360121860373621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1-41A5-93FA-FCBF8A73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894528"/>
        <c:axId val="2044895488"/>
      </c:lineChart>
      <c:catAx>
        <c:axId val="204489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95488"/>
        <c:crosses val="autoZero"/>
        <c:auto val="1"/>
        <c:lblAlgn val="ctr"/>
        <c:lblOffset val="100"/>
        <c:tickLblSkip val="2"/>
        <c:tickMarkSkip val="5"/>
        <c:noMultiLvlLbl val="0"/>
      </c:catAx>
      <c:valAx>
        <c:axId val="2044895488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br>
                  <a:rPr lang="en-US"/>
                </a:br>
                <a:r>
                  <a:rPr lang="en-US"/>
                  <a:t> (Gel / 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9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10160</xdr:colOff>
      <xdr:row>0</xdr:row>
      <xdr:rowOff>50800</xdr:rowOff>
    </xdr:from>
    <xdr:to>
      <xdr:col>21</xdr:col>
      <xdr:colOff>30480</xdr:colOff>
      <xdr:row>60</xdr:row>
      <xdr:rowOff>30480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36DDA0-39DB-AC63-7F14-F644A60185AD}"/>
            </a:ext>
          </a:extLst>
        </xdr:cNvPr>
        <xdr:cNvCxnSpPr/>
      </xdr:nvCxnSpPr>
      <xdr:spPr>
        <a:xfrm>
          <a:off x="18348960" y="50800"/>
          <a:ext cx="20320" cy="1018032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443439</xdr:colOff>
      <xdr:row>5</xdr:row>
      <xdr:rowOff>92927</xdr:rowOff>
    </xdr:from>
    <xdr:to>
      <xdr:col>43</xdr:col>
      <xdr:colOff>148682</xdr:colOff>
      <xdr:row>24</xdr:row>
      <xdr:rowOff>141836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973467-893F-1C7B-6F0E-F8AAB4879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642286</xdr:colOff>
      <xdr:row>65</xdr:row>
      <xdr:rowOff>158750</xdr:rowOff>
    </xdr:from>
    <xdr:to>
      <xdr:col>19</xdr:col>
      <xdr:colOff>582083</xdr:colOff>
      <xdr:row>86</xdr:row>
      <xdr:rowOff>42956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CB2150-7FE9-C1EF-5FF2-749C9B03B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zoomScale="6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P51" sqref="P51"/>
    </sheetView>
  </sheetViews>
  <sheetFormatPr defaultRowHeight="13.8" x14ac:dyDescent="0.25"/>
  <cols>
    <col min="1" max="1" width="16" style="3" bestFit="1" customWidth="1"/>
    <col min="2" max="2" width="71.44140625" style="3" bestFit="1" customWidth="1"/>
    <col min="3" max="3" width="12.109375" style="3" bestFit="1" customWidth="1"/>
    <col min="4" max="6" width="10" style="3" bestFit="1" customWidth="1"/>
    <col min="7" max="14" width="11.109375" style="3" bestFit="1" customWidth="1"/>
    <col min="15" max="15" width="12.21875" style="3" customWidth="1"/>
    <col min="16" max="17" width="11.109375" style="3" bestFit="1" customWidth="1"/>
    <col min="18" max="18" width="9.44140625" style="3" customWidth="1"/>
    <col min="19" max="19" width="10.6640625" style="3" customWidth="1"/>
    <col min="20" max="20" width="9.109375" style="3" customWidth="1"/>
    <col min="21" max="21" width="12.6640625" style="3" customWidth="1"/>
    <col min="22" max="23" width="11.109375" style="3" bestFit="1" customWidth="1"/>
    <col min="24" max="27" width="10.44140625" style="3" bestFit="1" customWidth="1"/>
    <col min="28" max="16384" width="8.88671875" style="3"/>
  </cols>
  <sheetData>
    <row r="1" spans="1:27" x14ac:dyDescent="0.25">
      <c r="V1" s="13" t="s">
        <v>27</v>
      </c>
    </row>
    <row r="2" spans="1:27" s="16" customFormat="1" x14ac:dyDescent="0.25">
      <c r="B2" s="16" t="s">
        <v>1</v>
      </c>
      <c r="C2" s="16">
        <v>39082</v>
      </c>
      <c r="D2" s="16">
        <v>39447</v>
      </c>
      <c r="E2" s="16">
        <v>39813</v>
      </c>
      <c r="F2" s="16">
        <v>40178</v>
      </c>
      <c r="G2" s="16">
        <v>40543</v>
      </c>
      <c r="H2" s="16">
        <v>40908</v>
      </c>
      <c r="I2" s="16">
        <v>41274</v>
      </c>
      <c r="J2" s="16">
        <v>41639</v>
      </c>
      <c r="K2" s="16">
        <v>42004</v>
      </c>
      <c r="L2" s="16">
        <v>42369</v>
      </c>
      <c r="M2" s="16">
        <v>42735</v>
      </c>
      <c r="N2" s="16">
        <v>43100</v>
      </c>
      <c r="O2" s="16">
        <v>43465</v>
      </c>
      <c r="P2" s="16">
        <v>43830</v>
      </c>
      <c r="Q2" s="16">
        <v>44196</v>
      </c>
      <c r="R2" s="16">
        <v>44561</v>
      </c>
      <c r="S2" s="16">
        <v>44926</v>
      </c>
      <c r="T2" s="16">
        <v>45291</v>
      </c>
      <c r="U2" s="16">
        <v>45657</v>
      </c>
      <c r="V2" s="16">
        <v>46022</v>
      </c>
      <c r="W2" s="16">
        <v>46387</v>
      </c>
      <c r="X2" s="16">
        <v>46752</v>
      </c>
      <c r="Y2" s="16">
        <v>47118</v>
      </c>
      <c r="Z2" s="16">
        <v>47483</v>
      </c>
      <c r="AA2" s="16">
        <v>47848</v>
      </c>
    </row>
    <row r="3" spans="1:27" s="15" customFormat="1" ht="41.4" x14ac:dyDescent="0.25">
      <c r="A3" s="11" t="s">
        <v>1</v>
      </c>
      <c r="B3" s="14" t="s">
        <v>0</v>
      </c>
      <c r="C3" s="11">
        <v>30.1</v>
      </c>
      <c r="D3" s="11">
        <v>64.91</v>
      </c>
      <c r="E3" s="11">
        <v>70.7</v>
      </c>
      <c r="F3" s="11">
        <v>74.3</v>
      </c>
      <c r="G3" s="11">
        <v>112.7</v>
      </c>
      <c r="H3" s="11">
        <v>366.3</v>
      </c>
      <c r="I3" s="11">
        <v>996</v>
      </c>
      <c r="J3" s="11">
        <v>1213.5</v>
      </c>
      <c r="K3" s="11">
        <v>2032.8</v>
      </c>
      <c r="L3" s="11">
        <v>3890.8</v>
      </c>
      <c r="M3" s="11">
        <v>5387.1</v>
      </c>
      <c r="N3" s="11">
        <v>6050.1</v>
      </c>
      <c r="O3" s="11">
        <v>13806.8</v>
      </c>
      <c r="P3" s="11">
        <v>25860</v>
      </c>
      <c r="Q3" s="11">
        <v>32091.3</v>
      </c>
      <c r="R3" s="11">
        <v>47938.6</v>
      </c>
      <c r="S3" s="11">
        <v>52647.4</v>
      </c>
      <c r="T3" s="11">
        <v>63994</v>
      </c>
      <c r="U3" s="11">
        <v>76155</v>
      </c>
      <c r="V3" s="15">
        <f>U3*(1+V13)</f>
        <v>87578.25</v>
      </c>
      <c r="W3" s="15">
        <f t="shared" ref="W3:AA3" si="0">V3*(1+W13)</f>
        <v>100714.98749999999</v>
      </c>
      <c r="X3" s="15">
        <f t="shared" si="0"/>
        <v>115822.23562499997</v>
      </c>
      <c r="Y3" s="15">
        <f t="shared" si="0"/>
        <v>133195.57096874996</v>
      </c>
      <c r="Z3" s="15">
        <f t="shared" si="0"/>
        <v>153174.90661406243</v>
      </c>
      <c r="AA3" s="15">
        <f t="shared" si="0"/>
        <v>176151.14260617178</v>
      </c>
    </row>
    <row r="4" spans="1:27" s="5" customFormat="1" x14ac:dyDescent="0.25">
      <c r="A4" s="5" t="s">
        <v>1</v>
      </c>
      <c r="B4" s="5" t="s">
        <v>2</v>
      </c>
      <c r="C4" s="5" t="e">
        <f>NA()</f>
        <v>#N/A</v>
      </c>
      <c r="D4" s="5" t="e">
        <f>NA()</f>
        <v>#N/A</v>
      </c>
      <c r="E4" s="5" t="e">
        <f>NA()</f>
        <v>#N/A</v>
      </c>
      <c r="F4" s="5" t="e">
        <f>NA()</f>
        <v>#N/A</v>
      </c>
      <c r="G4" s="5" t="e">
        <f>NA()</f>
        <v>#N/A</v>
      </c>
      <c r="H4" s="5" t="e">
        <f>NA()</f>
        <v>#N/A</v>
      </c>
      <c r="I4" s="5" t="e">
        <f>NA()</f>
        <v>#N/A</v>
      </c>
      <c r="J4" s="5" t="e">
        <f>NA()</f>
        <v>#N/A</v>
      </c>
      <c r="K4" s="5">
        <v>698.4</v>
      </c>
      <c r="L4" s="5">
        <v>743.1</v>
      </c>
      <c r="M4" s="5">
        <v>1052.5</v>
      </c>
      <c r="N4" s="5">
        <v>1012.7</v>
      </c>
      <c r="O4" s="5">
        <v>1207.7</v>
      </c>
      <c r="P4" s="5">
        <v>1593.3</v>
      </c>
      <c r="Q4" s="5">
        <v>1374</v>
      </c>
      <c r="R4" s="5">
        <v>2233.5551300000002</v>
      </c>
      <c r="S4" s="5">
        <v>2475.1657599999999</v>
      </c>
      <c r="T4" s="5">
        <v>2851</v>
      </c>
      <c r="U4" s="5">
        <v>3208.9</v>
      </c>
    </row>
    <row r="5" spans="1:27" s="5" customFormat="1" x14ac:dyDescent="0.25">
      <c r="A5" s="5" t="s">
        <v>8</v>
      </c>
      <c r="B5" s="5" t="s">
        <v>3</v>
      </c>
      <c r="C5" s="5">
        <v>1873</v>
      </c>
      <c r="D5" s="5">
        <v>1798</v>
      </c>
      <c r="E5" s="5">
        <v>1608</v>
      </c>
      <c r="F5" s="5">
        <v>2123</v>
      </c>
      <c r="G5" s="5">
        <v>1956</v>
      </c>
      <c r="H5" s="5">
        <v>3861</v>
      </c>
      <c r="I5" s="5">
        <v>4547</v>
      </c>
      <c r="J5" s="5">
        <v>5244</v>
      </c>
      <c r="K5" s="5">
        <v>6074</v>
      </c>
      <c r="L5" s="5">
        <v>6845</v>
      </c>
      <c r="M5" s="5">
        <v>7438</v>
      </c>
      <c r="N5" s="5">
        <v>9114</v>
      </c>
      <c r="O5" s="5">
        <v>10288</v>
      </c>
      <c r="P5" s="5">
        <v>10816</v>
      </c>
      <c r="Q5" s="5">
        <v>9864</v>
      </c>
      <c r="R5" s="5">
        <v>9868</v>
      </c>
      <c r="S5" s="5">
        <v>10067</v>
      </c>
      <c r="T5" s="5">
        <v>12223</v>
      </c>
      <c r="U5" s="5">
        <v>13195</v>
      </c>
    </row>
    <row r="6" spans="1:27" s="5" customFormat="1" x14ac:dyDescent="0.25">
      <c r="A6" s="5" t="s">
        <v>8</v>
      </c>
      <c r="B6" s="5" t="s">
        <v>4</v>
      </c>
      <c r="C6" s="5">
        <v>1786</v>
      </c>
      <c r="D6" s="5">
        <v>1751</v>
      </c>
      <c r="E6" s="5">
        <v>1587</v>
      </c>
      <c r="F6" s="5">
        <v>2070</v>
      </c>
      <c r="G6" s="5">
        <v>1935</v>
      </c>
      <c r="H6" s="5">
        <v>3811</v>
      </c>
      <c r="I6" s="5">
        <v>4508</v>
      </c>
      <c r="J6" s="5">
        <v>5227</v>
      </c>
      <c r="K6" s="5">
        <v>6072</v>
      </c>
      <c r="L6" s="5">
        <v>6841</v>
      </c>
      <c r="M6" s="5">
        <v>7432</v>
      </c>
      <c r="N6" s="5">
        <v>8919</v>
      </c>
      <c r="O6" s="5">
        <v>10287</v>
      </c>
      <c r="P6" s="5">
        <v>10815</v>
      </c>
      <c r="Q6" s="5">
        <v>9864</v>
      </c>
      <c r="R6" s="5">
        <v>9860</v>
      </c>
      <c r="S6" s="5">
        <v>10064</v>
      </c>
      <c r="T6" s="5">
        <v>12220</v>
      </c>
      <c r="U6" s="5">
        <v>13194</v>
      </c>
    </row>
    <row r="7" spans="1:27" s="5" customFormat="1" x14ac:dyDescent="0.25">
      <c r="A7" s="5" t="s">
        <v>7</v>
      </c>
      <c r="B7" s="5" t="s">
        <v>5</v>
      </c>
      <c r="C7" s="5">
        <v>180.9</v>
      </c>
      <c r="D7" s="5">
        <v>304.5</v>
      </c>
      <c r="E7" s="5">
        <v>538.4</v>
      </c>
      <c r="F7" s="5">
        <v>488.9</v>
      </c>
      <c r="G7" s="5">
        <v>647.29999999999995</v>
      </c>
      <c r="H7" s="5">
        <v>624.70000000000005</v>
      </c>
      <c r="I7" s="5">
        <v>782.3</v>
      </c>
      <c r="J7" s="5">
        <v>1021.7</v>
      </c>
      <c r="K7" s="5">
        <v>1050.5</v>
      </c>
      <c r="L7" s="5">
        <v>1342</v>
      </c>
      <c r="M7" s="5">
        <v>1467.7</v>
      </c>
      <c r="N7" s="5">
        <v>1507.6</v>
      </c>
      <c r="O7" s="5">
        <v>1799.3</v>
      </c>
      <c r="P7" s="5">
        <v>2065.8000000000002</v>
      </c>
      <c r="Q7" s="5">
        <v>1598.3</v>
      </c>
      <c r="R7" s="5">
        <v>1881.598236</v>
      </c>
      <c r="S7" s="5">
        <v>2873.7</v>
      </c>
      <c r="T7" s="5">
        <v>3227.9</v>
      </c>
      <c r="U7" s="5">
        <v>3392.3</v>
      </c>
    </row>
    <row r="8" spans="1:27" s="5" customFormat="1" x14ac:dyDescent="0.25">
      <c r="A8" s="5" t="s">
        <v>1</v>
      </c>
      <c r="B8" s="5" t="s">
        <v>6</v>
      </c>
      <c r="C8" s="5">
        <v>15.8</v>
      </c>
      <c r="D8" s="5">
        <v>30.1</v>
      </c>
      <c r="E8" s="5">
        <v>47.3</v>
      </c>
      <c r="F8" s="5">
        <v>45.2</v>
      </c>
      <c r="G8" s="5">
        <v>64.900000000000006</v>
      </c>
      <c r="H8" s="5">
        <v>296.8</v>
      </c>
      <c r="I8" s="5">
        <v>509.3</v>
      </c>
      <c r="J8" s="5">
        <v>813.9</v>
      </c>
      <c r="K8" s="5">
        <v>621.4</v>
      </c>
      <c r="L8" s="5">
        <v>514.20000000000005</v>
      </c>
      <c r="M8" s="5">
        <v>688.7</v>
      </c>
      <c r="N8" s="5">
        <v>573.1</v>
      </c>
      <c r="O8" s="5">
        <v>750.6</v>
      </c>
      <c r="P8" s="5">
        <v>901.6</v>
      </c>
      <c r="Q8" s="5">
        <v>861</v>
      </c>
      <c r="R8" s="5">
        <v>1055.5</v>
      </c>
      <c r="S8" s="5">
        <v>1439.1</v>
      </c>
      <c r="T8" s="5">
        <v>1589.1</v>
      </c>
      <c r="U8" s="5">
        <v>1766.3</v>
      </c>
    </row>
    <row r="9" spans="1:27" s="5" customFormat="1" x14ac:dyDescent="0.25">
      <c r="A9" s="5" t="s">
        <v>1</v>
      </c>
      <c r="B9" s="5" t="s">
        <v>9</v>
      </c>
      <c r="C9" s="5">
        <v>4.7</v>
      </c>
      <c r="D9" s="5">
        <v>7.7</v>
      </c>
      <c r="E9" s="5">
        <v>10.4</v>
      </c>
      <c r="F9" s="5">
        <v>12.2</v>
      </c>
      <c r="G9" s="5">
        <v>15.1</v>
      </c>
      <c r="H9" s="5">
        <v>28.753520000000002</v>
      </c>
      <c r="I9" s="5">
        <v>42.4</v>
      </c>
      <c r="J9" s="5">
        <v>64.099999999999994</v>
      </c>
      <c r="K9" s="5">
        <v>76.7</v>
      </c>
      <c r="L9" s="5">
        <v>110.4</v>
      </c>
      <c r="M9" s="5">
        <v>131</v>
      </c>
      <c r="N9" s="5">
        <v>161.80000000000001</v>
      </c>
      <c r="O9" s="5">
        <v>226</v>
      </c>
      <c r="P9" s="5">
        <v>275.2</v>
      </c>
      <c r="Q9" s="5">
        <v>199.5</v>
      </c>
      <c r="R9" s="5">
        <v>231.70258000000001</v>
      </c>
      <c r="S9" s="5">
        <v>360.1</v>
      </c>
      <c r="T9" s="5">
        <v>488</v>
      </c>
      <c r="U9" s="5">
        <v>558.9</v>
      </c>
    </row>
    <row r="10" spans="1:27" s="5" customFormat="1" x14ac:dyDescent="0.25">
      <c r="A10" s="5" t="s">
        <v>1</v>
      </c>
      <c r="B10" s="5" t="s">
        <v>10</v>
      </c>
      <c r="C10" s="5">
        <v>14.2</v>
      </c>
      <c r="D10" s="5">
        <v>27.5</v>
      </c>
      <c r="E10" s="5">
        <v>16.100000000000001</v>
      </c>
      <c r="F10" s="5">
        <v>26.5</v>
      </c>
      <c r="G10" s="5">
        <v>36</v>
      </c>
      <c r="H10" s="5">
        <v>47.1</v>
      </c>
      <c r="I10" s="5">
        <v>265.60000000000002</v>
      </c>
      <c r="J10" s="5">
        <v>90.1</v>
      </c>
      <c r="K10" s="5">
        <v>58.6</v>
      </c>
      <c r="L10" s="5">
        <v>184.7</v>
      </c>
      <c r="M10" s="5">
        <v>339.8</v>
      </c>
      <c r="N10" s="5">
        <v>420.1</v>
      </c>
      <c r="O10" s="5">
        <v>405.7</v>
      </c>
      <c r="P10" s="5">
        <v>615.20000000000005</v>
      </c>
      <c r="Q10" s="5">
        <v>448.5</v>
      </c>
      <c r="R10" s="5">
        <v>1120.5999999999999</v>
      </c>
      <c r="S10" s="5">
        <v>1001</v>
      </c>
      <c r="T10" s="5">
        <v>1153.8</v>
      </c>
      <c r="U10" s="5">
        <v>1349.9</v>
      </c>
    </row>
    <row r="11" spans="1:27" s="5" customFormat="1" x14ac:dyDescent="0.25">
      <c r="A11" s="5" t="s">
        <v>1</v>
      </c>
      <c r="B11" s="5" t="s">
        <v>11</v>
      </c>
      <c r="C11" s="5">
        <v>1</v>
      </c>
      <c r="D11" s="5">
        <v>1.2</v>
      </c>
      <c r="E11" s="5">
        <v>0.5</v>
      </c>
      <c r="F11" s="5">
        <v>7.6</v>
      </c>
      <c r="G11" s="5">
        <v>5.8</v>
      </c>
      <c r="H11" s="5">
        <v>5.0999999999999996</v>
      </c>
      <c r="I11" s="5">
        <v>70.400000000000006</v>
      </c>
      <c r="J11" s="5">
        <v>11</v>
      </c>
      <c r="K11" s="5">
        <v>11.8</v>
      </c>
      <c r="L11" s="5">
        <v>33</v>
      </c>
      <c r="M11" s="5">
        <v>32.200000000000003</v>
      </c>
      <c r="N11" s="5">
        <v>66.900000000000006</v>
      </c>
      <c r="O11" s="5">
        <v>71.599999999999994</v>
      </c>
      <c r="P11" s="5">
        <v>26.3</v>
      </c>
      <c r="Q11" s="5">
        <v>30.2</v>
      </c>
      <c r="R11" s="5">
        <v>93</v>
      </c>
      <c r="S11" s="5">
        <v>80.400000000000006</v>
      </c>
      <c r="T11" s="5">
        <v>80</v>
      </c>
      <c r="U11" s="5">
        <v>74.400000000000006</v>
      </c>
    </row>
    <row r="12" spans="1:27" s="5" customFormat="1" x14ac:dyDescent="0.25"/>
    <row r="13" spans="1:27" s="8" customFormat="1" x14ac:dyDescent="0.25">
      <c r="B13" s="8" t="s">
        <v>24</v>
      </c>
      <c r="D13" s="8">
        <f>D3/C3-1</f>
        <v>1.1564784053156143</v>
      </c>
      <c r="E13" s="8">
        <f t="shared" ref="E13:F13" si="1">E3/D3-1</f>
        <v>8.9200431366507571E-2</v>
      </c>
      <c r="F13" s="8">
        <f t="shared" si="1"/>
        <v>5.0919377652050901E-2</v>
      </c>
      <c r="G13" s="8">
        <f t="shared" ref="G13:U13" si="2">G3/F3-1</f>
        <v>0.51682368775235532</v>
      </c>
      <c r="H13" s="8">
        <f t="shared" si="2"/>
        <v>2.2502218278615795</v>
      </c>
      <c r="I13" s="8">
        <f t="shared" si="2"/>
        <v>1.7190827190827189</v>
      </c>
      <c r="J13" s="8">
        <f t="shared" si="2"/>
        <v>0.21837349397590367</v>
      </c>
      <c r="K13" s="8">
        <f t="shared" si="2"/>
        <v>0.67515451174289232</v>
      </c>
      <c r="L13" s="8">
        <f t="shared" si="2"/>
        <v>0.91401023219205046</v>
      </c>
      <c r="M13" s="8">
        <f t="shared" si="2"/>
        <v>0.38457386655700621</v>
      </c>
      <c r="N13" s="8">
        <f t="shared" si="2"/>
        <v>0.12307178259174689</v>
      </c>
      <c r="O13" s="8">
        <f t="shared" si="2"/>
        <v>1.2820779821821122</v>
      </c>
      <c r="P13" s="8">
        <f t="shared" si="2"/>
        <v>0.87299012081003569</v>
      </c>
      <c r="Q13" s="8">
        <f t="shared" si="2"/>
        <v>0.24096287703016239</v>
      </c>
      <c r="R13" s="8">
        <f t="shared" si="2"/>
        <v>0.49381919710326483</v>
      </c>
      <c r="S13" s="8">
        <f t="shared" si="2"/>
        <v>9.8225646973420178E-2</v>
      </c>
      <c r="T13" s="8">
        <f t="shared" si="2"/>
        <v>0.21552061450328019</v>
      </c>
      <c r="U13" s="8">
        <f>U3/T3-1</f>
        <v>0.19003344063505945</v>
      </c>
      <c r="V13" s="8">
        <v>0.15</v>
      </c>
      <c r="W13" s="8">
        <v>0.15</v>
      </c>
      <c r="X13" s="8">
        <v>0.15</v>
      </c>
      <c r="Y13" s="8">
        <v>0.15</v>
      </c>
      <c r="Z13" s="8">
        <v>0.15</v>
      </c>
      <c r="AA13" s="8">
        <v>0.15</v>
      </c>
    </row>
    <row r="14" spans="1:27" s="5" customFormat="1" x14ac:dyDescent="0.25"/>
    <row r="15" spans="1:27" s="5" customFormat="1" x14ac:dyDescent="0.25"/>
    <row r="16" spans="1:27" s="5" customFormat="1" x14ac:dyDescent="0.25">
      <c r="A16" s="5" t="s">
        <v>12</v>
      </c>
      <c r="B16" s="5" t="s">
        <v>14</v>
      </c>
      <c r="C16" s="5" t="e">
        <f>NA()</f>
        <v>#N/A</v>
      </c>
      <c r="D16" s="5" t="e">
        <f>NA()</f>
        <v>#N/A</v>
      </c>
      <c r="E16" s="5" t="e">
        <f>NA()</f>
        <v>#N/A</v>
      </c>
      <c r="F16" s="5" t="e">
        <f>NA()</f>
        <v>#N/A</v>
      </c>
      <c r="G16" s="5" t="e">
        <f>NA()</f>
        <v>#N/A</v>
      </c>
      <c r="H16" s="5" t="e">
        <f>NA()</f>
        <v>#N/A</v>
      </c>
      <c r="I16" s="5" t="e">
        <f>NA()</f>
        <v>#N/A</v>
      </c>
      <c r="J16" s="5" t="e">
        <f>NA()</f>
        <v>#N/A</v>
      </c>
      <c r="K16" s="5" t="e">
        <f>NA()</f>
        <v>#N/A</v>
      </c>
      <c r="L16" s="5" t="e">
        <f>NA()</f>
        <v>#N/A</v>
      </c>
      <c r="M16" s="5" t="e">
        <f>NA()</f>
        <v>#N/A</v>
      </c>
      <c r="N16" s="5" t="e">
        <f>NA()</f>
        <v>#N/A</v>
      </c>
      <c r="O16" s="5">
        <v>314.65100000000001</v>
      </c>
      <c r="P16" s="5">
        <v>624.82799999999997</v>
      </c>
      <c r="Q16" s="5">
        <v>960.48</v>
      </c>
      <c r="R16" s="5">
        <v>914.48199999999997</v>
      </c>
      <c r="S16" s="5">
        <v>4346.3810000000003</v>
      </c>
      <c r="T16" s="5">
        <v>3227</v>
      </c>
      <c r="U16" s="5">
        <v>4843</v>
      </c>
    </row>
    <row r="17" spans="1:27" s="5" customFormat="1" x14ac:dyDescent="0.25">
      <c r="A17" s="5" t="s">
        <v>12</v>
      </c>
      <c r="B17" s="5" t="s">
        <v>13</v>
      </c>
      <c r="C17" s="5" t="e">
        <f>NA()</f>
        <v>#N/A</v>
      </c>
      <c r="D17" s="5" t="e">
        <f>NA()</f>
        <v>#N/A</v>
      </c>
      <c r="E17" s="5" t="e">
        <f>NA()</f>
        <v>#N/A</v>
      </c>
      <c r="F17" s="5" t="e">
        <f>NA()</f>
        <v>#N/A</v>
      </c>
      <c r="G17" s="5" t="e">
        <f>NA()</f>
        <v>#N/A</v>
      </c>
      <c r="H17" s="5" t="e">
        <f>NA()</f>
        <v>#N/A</v>
      </c>
      <c r="I17" s="5" t="e">
        <f>NA()</f>
        <v>#N/A</v>
      </c>
      <c r="J17" s="5" t="e">
        <f>NA()</f>
        <v>#N/A</v>
      </c>
      <c r="K17" s="5" t="e">
        <f>NA()</f>
        <v>#N/A</v>
      </c>
      <c r="L17" s="5" t="e">
        <f>NA()</f>
        <v>#N/A</v>
      </c>
      <c r="M17" s="5" t="e">
        <f>NA()</f>
        <v>#N/A</v>
      </c>
      <c r="N17" s="5" t="e">
        <f>NA()</f>
        <v>#N/A</v>
      </c>
      <c r="O17" s="5">
        <v>2734.06</v>
      </c>
      <c r="P17" s="5">
        <v>3646.8690000000001</v>
      </c>
      <c r="Q17" s="5">
        <v>6440.3530000000001</v>
      </c>
      <c r="R17" s="5">
        <v>7438.3490000000002</v>
      </c>
      <c r="S17" s="5">
        <v>7376.7619999999997</v>
      </c>
      <c r="T17" s="5">
        <v>8143.1239999999998</v>
      </c>
      <c r="U17" s="5">
        <v>14668.8</v>
      </c>
    </row>
    <row r="19" spans="1:27" s="6" customFormat="1" x14ac:dyDescent="0.25">
      <c r="A19" s="6" t="s">
        <v>1</v>
      </c>
      <c r="B19" s="6" t="s">
        <v>14</v>
      </c>
      <c r="C19" s="6" t="e">
        <f>C16/1000</f>
        <v>#N/A</v>
      </c>
      <c r="D19" s="6" t="e">
        <f t="shared" ref="D19:U19" si="3">D16/1000</f>
        <v>#N/A</v>
      </c>
      <c r="E19" s="6" t="e">
        <f t="shared" si="3"/>
        <v>#N/A</v>
      </c>
      <c r="F19" s="6" t="e">
        <f t="shared" si="3"/>
        <v>#N/A</v>
      </c>
      <c r="G19" s="6" t="e">
        <f t="shared" si="3"/>
        <v>#N/A</v>
      </c>
      <c r="H19" s="6" t="e">
        <f t="shared" si="3"/>
        <v>#N/A</v>
      </c>
      <c r="I19" s="6" t="e">
        <f t="shared" si="3"/>
        <v>#N/A</v>
      </c>
      <c r="J19" s="6" t="e">
        <f t="shared" si="3"/>
        <v>#N/A</v>
      </c>
      <c r="K19" s="6" t="e">
        <f t="shared" si="3"/>
        <v>#N/A</v>
      </c>
      <c r="L19" s="6" t="e">
        <f t="shared" si="3"/>
        <v>#N/A</v>
      </c>
      <c r="M19" s="6" t="e">
        <f t="shared" si="3"/>
        <v>#N/A</v>
      </c>
      <c r="N19" s="6" t="e">
        <f t="shared" si="3"/>
        <v>#N/A</v>
      </c>
      <c r="O19" s="6">
        <f t="shared" si="3"/>
        <v>0.31465100000000001</v>
      </c>
      <c r="P19" s="6">
        <f t="shared" si="3"/>
        <v>0.62482799999999994</v>
      </c>
      <c r="Q19" s="6">
        <f t="shared" si="3"/>
        <v>0.96048</v>
      </c>
      <c r="R19" s="6">
        <f t="shared" si="3"/>
        <v>0.91448200000000002</v>
      </c>
      <c r="S19" s="6">
        <f t="shared" si="3"/>
        <v>4.346381</v>
      </c>
      <c r="T19" s="6">
        <f t="shared" si="3"/>
        <v>3.2269999999999999</v>
      </c>
      <c r="U19" s="6">
        <f t="shared" si="3"/>
        <v>4.843</v>
      </c>
    </row>
    <row r="20" spans="1:27" s="6" customFormat="1" x14ac:dyDescent="0.25">
      <c r="A20" s="6" t="s">
        <v>1</v>
      </c>
      <c r="B20" s="6" t="s">
        <v>13</v>
      </c>
      <c r="C20" s="6" t="e">
        <f t="shared" ref="C20:U20" si="4">C17/1000</f>
        <v>#N/A</v>
      </c>
      <c r="D20" s="6" t="e">
        <f t="shared" si="4"/>
        <v>#N/A</v>
      </c>
      <c r="E20" s="6" t="e">
        <f t="shared" si="4"/>
        <v>#N/A</v>
      </c>
      <c r="F20" s="6" t="e">
        <f t="shared" si="4"/>
        <v>#N/A</v>
      </c>
      <c r="G20" s="6" t="e">
        <f t="shared" si="4"/>
        <v>#N/A</v>
      </c>
      <c r="H20" s="6" t="e">
        <f t="shared" si="4"/>
        <v>#N/A</v>
      </c>
      <c r="I20" s="6" t="e">
        <f t="shared" si="4"/>
        <v>#N/A</v>
      </c>
      <c r="J20" s="6" t="e">
        <f t="shared" si="4"/>
        <v>#N/A</v>
      </c>
      <c r="K20" s="6" t="e">
        <f t="shared" si="4"/>
        <v>#N/A</v>
      </c>
      <c r="L20" s="6" t="e">
        <f t="shared" si="4"/>
        <v>#N/A</v>
      </c>
      <c r="M20" s="6" t="e">
        <f t="shared" si="4"/>
        <v>#N/A</v>
      </c>
      <c r="N20" s="6" t="e">
        <f t="shared" si="4"/>
        <v>#N/A</v>
      </c>
      <c r="O20" s="6">
        <f t="shared" si="4"/>
        <v>2.7340599999999999</v>
      </c>
      <c r="P20" s="6">
        <f t="shared" si="4"/>
        <v>3.6468690000000001</v>
      </c>
      <c r="Q20" s="6">
        <f t="shared" si="4"/>
        <v>6.440353</v>
      </c>
      <c r="R20" s="6">
        <f t="shared" si="4"/>
        <v>7.4383490000000005</v>
      </c>
      <c r="S20" s="6">
        <f t="shared" si="4"/>
        <v>7.3767619999999994</v>
      </c>
      <c r="T20" s="6">
        <f t="shared" si="4"/>
        <v>8.1431240000000003</v>
      </c>
      <c r="U20" s="6">
        <f t="shared" si="4"/>
        <v>14.668799999999999</v>
      </c>
    </row>
    <row r="21" spans="1:27" s="6" customFormat="1" x14ac:dyDescent="0.25"/>
    <row r="22" spans="1:27" s="11" customFormat="1" x14ac:dyDescent="0.25">
      <c r="B22" s="11" t="s">
        <v>21</v>
      </c>
      <c r="O22" s="11">
        <f>(O19+O20)/0.002</f>
        <v>1524.3554999999999</v>
      </c>
      <c r="P22" s="11">
        <f t="shared" ref="P22:T22" si="5">(P19+P20)/0.002</f>
        <v>2135.8484999999996</v>
      </c>
      <c r="Q22" s="11">
        <f t="shared" si="5"/>
        <v>3700.4165000000003</v>
      </c>
      <c r="R22" s="11">
        <f t="shared" si="5"/>
        <v>4176.4155000000001</v>
      </c>
      <c r="S22" s="11">
        <f t="shared" si="5"/>
        <v>5861.5715</v>
      </c>
      <c r="T22" s="11">
        <f t="shared" si="5"/>
        <v>5685.0619999999999</v>
      </c>
      <c r="U22" s="11">
        <f>(U19+U20)/0.002</f>
        <v>9755.9</v>
      </c>
      <c r="V22" s="11">
        <f>U22*(1+V24)</f>
        <v>11707.08</v>
      </c>
      <c r="W22" s="11">
        <f t="shared" ref="W22:AA22" si="6">V22*(1+W24)</f>
        <v>14048.495999999999</v>
      </c>
      <c r="X22" s="11">
        <f t="shared" si="6"/>
        <v>16858.195199999998</v>
      </c>
      <c r="Y22" s="11">
        <f t="shared" si="6"/>
        <v>20229.834239999996</v>
      </c>
      <c r="Z22" s="11">
        <f t="shared" si="6"/>
        <v>24275.801087999997</v>
      </c>
      <c r="AA22" s="11">
        <f t="shared" si="6"/>
        <v>29130.961305599994</v>
      </c>
    </row>
    <row r="23" spans="1:27" s="4" customFormat="1" x14ac:dyDescent="0.25"/>
    <row r="24" spans="1:27" s="9" customFormat="1" x14ac:dyDescent="0.25">
      <c r="B24" s="9" t="s">
        <v>24</v>
      </c>
      <c r="P24" s="8">
        <f t="shared" ref="P24:U24" si="7">P22/O22-1</f>
        <v>0.40114855097777369</v>
      </c>
      <c r="Q24" s="8">
        <f t="shared" si="7"/>
        <v>0.73252761139191325</v>
      </c>
      <c r="R24" s="8">
        <f t="shared" si="7"/>
        <v>0.12863389837333172</v>
      </c>
      <c r="S24" s="8">
        <f t="shared" si="7"/>
        <v>0.40349337847252031</v>
      </c>
      <c r="T24" s="8">
        <f t="shared" si="7"/>
        <v>-3.0112999559930298E-2</v>
      </c>
      <c r="U24" s="8">
        <f>U22/T22-1</f>
        <v>0.71605868150602392</v>
      </c>
      <c r="V24" s="9">
        <v>0.2</v>
      </c>
      <c r="W24" s="9">
        <v>0.2</v>
      </c>
      <c r="X24" s="9">
        <v>0.2</v>
      </c>
      <c r="Y24" s="9">
        <v>0.2</v>
      </c>
      <c r="Z24" s="9">
        <v>0.2</v>
      </c>
      <c r="AA24" s="9">
        <v>0.2</v>
      </c>
    </row>
    <row r="25" spans="1:27" s="4" customFormat="1" x14ac:dyDescent="0.25"/>
    <row r="26" spans="1:27" s="4" customFormat="1" x14ac:dyDescent="0.25"/>
    <row r="27" spans="1:27" s="4" customFormat="1" x14ac:dyDescent="0.25">
      <c r="B27" s="2" t="s">
        <v>15</v>
      </c>
      <c r="O27" s="2">
        <v>250</v>
      </c>
      <c r="P27" s="2">
        <v>450</v>
      </c>
      <c r="Q27" s="2">
        <v>880</v>
      </c>
      <c r="R27" s="2">
        <v>4200</v>
      </c>
      <c r="S27" s="2">
        <v>2750</v>
      </c>
      <c r="T27" s="2">
        <v>2150</v>
      </c>
      <c r="U27" s="2">
        <v>8200</v>
      </c>
      <c r="V27" s="2">
        <v>9850</v>
      </c>
      <c r="W27" s="2">
        <v>10150</v>
      </c>
    </row>
    <row r="28" spans="1:27" s="4" customFormat="1" x14ac:dyDescent="0.25">
      <c r="B28" s="2" t="s">
        <v>16</v>
      </c>
      <c r="O28" s="2">
        <v>0</v>
      </c>
      <c r="P28" s="2">
        <v>0</v>
      </c>
      <c r="Q28" s="2">
        <v>50</v>
      </c>
      <c r="R28" s="2">
        <v>500</v>
      </c>
      <c r="S28" s="2">
        <v>380</v>
      </c>
      <c r="T28" s="2">
        <v>720</v>
      </c>
      <c r="U28" s="2">
        <v>1280</v>
      </c>
      <c r="V28" s="2">
        <v>1640</v>
      </c>
      <c r="W28" s="2">
        <v>1820</v>
      </c>
    </row>
    <row r="29" spans="1:27" s="4" customFormat="1" x14ac:dyDescent="0.25">
      <c r="B29" s="2" t="s">
        <v>17</v>
      </c>
      <c r="O29" s="2">
        <v>0</v>
      </c>
      <c r="P29" s="2">
        <v>0</v>
      </c>
      <c r="Q29" s="2">
        <v>5</v>
      </c>
      <c r="R29" s="2">
        <v>120</v>
      </c>
      <c r="S29" s="2">
        <v>80</v>
      </c>
      <c r="T29" s="2">
        <v>60</v>
      </c>
      <c r="U29" s="2">
        <v>100</v>
      </c>
      <c r="V29" s="2">
        <v>140</v>
      </c>
      <c r="W29" s="2">
        <v>160</v>
      </c>
    </row>
    <row r="30" spans="1:27" s="4" customFormat="1" x14ac:dyDescent="0.25">
      <c r="B30" s="2" t="s">
        <v>18</v>
      </c>
      <c r="O30" s="2">
        <v>250</v>
      </c>
      <c r="P30" s="2">
        <v>450</v>
      </c>
      <c r="Q30" s="2">
        <v>935</v>
      </c>
      <c r="R30" s="2">
        <v>4820</v>
      </c>
      <c r="S30" s="2">
        <v>3210</v>
      </c>
      <c r="T30" s="2">
        <v>2930</v>
      </c>
      <c r="U30" s="2">
        <v>9580</v>
      </c>
      <c r="V30" s="2">
        <v>11630</v>
      </c>
      <c r="W30" s="2">
        <v>12130</v>
      </c>
    </row>
    <row r="31" spans="1:27" x14ac:dyDescent="0.25">
      <c r="B31" s="1" t="s">
        <v>19</v>
      </c>
    </row>
    <row r="33" spans="2:27" s="7" customFormat="1" x14ac:dyDescent="0.25">
      <c r="B33" s="7" t="s">
        <v>20</v>
      </c>
      <c r="O33" s="7">
        <v>2.5178536398467428</v>
      </c>
      <c r="P33" s="7">
        <v>2.8032030651340971</v>
      </c>
      <c r="Q33" s="7">
        <v>3.0993958015267165</v>
      </c>
      <c r="R33" s="7">
        <v>3.1986390804597682</v>
      </c>
      <c r="S33" s="7">
        <v>2.8815265384615381</v>
      </c>
      <c r="T33" s="7">
        <v>2.6136515384615366</v>
      </c>
      <c r="U33" s="7">
        <v>2.7181423664122102</v>
      </c>
      <c r="V33" s="7">
        <v>2.7311885057471259</v>
      </c>
      <c r="W33" s="7">
        <v>2.6939119565217386</v>
      </c>
    </row>
    <row r="35" spans="2:27" x14ac:dyDescent="0.25">
      <c r="B35" s="1" t="s">
        <v>22</v>
      </c>
    </row>
    <row r="36" spans="2:27" s="4" customFormat="1" x14ac:dyDescent="0.25">
      <c r="B36" s="2" t="s">
        <v>16</v>
      </c>
      <c r="O36" s="6">
        <f>O27*O$33/1000</f>
        <v>0.6294634099616857</v>
      </c>
      <c r="P36" s="6">
        <f t="shared" ref="P36:W36" si="8">P27*P$33/1000</f>
        <v>1.2614413793103438</v>
      </c>
      <c r="Q36" s="6">
        <f t="shared" si="8"/>
        <v>2.7274683053435105</v>
      </c>
      <c r="R36" s="6">
        <f t="shared" si="8"/>
        <v>13.434284137931026</v>
      </c>
      <c r="S36" s="6">
        <f t="shared" si="8"/>
        <v>7.9241979807692298</v>
      </c>
      <c r="T36" s="6">
        <f t="shared" si="8"/>
        <v>5.6193508076923031</v>
      </c>
      <c r="U36" s="6">
        <f t="shared" si="8"/>
        <v>22.288767404580124</v>
      </c>
      <c r="V36" s="6">
        <f t="shared" si="8"/>
        <v>26.902206781609191</v>
      </c>
      <c r="W36" s="6">
        <f t="shared" si="8"/>
        <v>27.343206358695646</v>
      </c>
    </row>
    <row r="37" spans="2:27" s="4" customFormat="1" x14ac:dyDescent="0.25">
      <c r="B37" s="2" t="s">
        <v>17</v>
      </c>
      <c r="O37" s="6">
        <f t="shared" ref="O37:W37" si="9">O28*O$33/1000</f>
        <v>0</v>
      </c>
      <c r="P37" s="6">
        <f t="shared" si="9"/>
        <v>0</v>
      </c>
      <c r="Q37" s="6">
        <f t="shared" si="9"/>
        <v>0.15496979007633582</v>
      </c>
      <c r="R37" s="6">
        <f t="shared" si="9"/>
        <v>1.5993195402298841</v>
      </c>
      <c r="S37" s="6">
        <f t="shared" si="9"/>
        <v>1.0949800846153843</v>
      </c>
      <c r="T37" s="6">
        <f t="shared" si="9"/>
        <v>1.8818291076923064</v>
      </c>
      <c r="U37" s="6">
        <f t="shared" si="9"/>
        <v>3.4792222290076289</v>
      </c>
      <c r="V37" s="6">
        <f t="shared" si="9"/>
        <v>4.4791491494252869</v>
      </c>
      <c r="W37" s="6">
        <f t="shared" si="9"/>
        <v>4.9029197608695636</v>
      </c>
    </row>
    <row r="38" spans="2:27" s="4" customFormat="1" x14ac:dyDescent="0.25">
      <c r="B38" s="2" t="s">
        <v>18</v>
      </c>
      <c r="O38" s="6">
        <f t="shared" ref="O38:W38" si="10">O29*O$33/1000</f>
        <v>0</v>
      </c>
      <c r="P38" s="6">
        <f t="shared" si="10"/>
        <v>0</v>
      </c>
      <c r="Q38" s="6">
        <f t="shared" si="10"/>
        <v>1.5496979007633582E-2</v>
      </c>
      <c r="R38" s="6">
        <f t="shared" si="10"/>
        <v>0.38383668965517215</v>
      </c>
      <c r="S38" s="6">
        <f t="shared" si="10"/>
        <v>0.23052212307692305</v>
      </c>
      <c r="T38" s="6">
        <f t="shared" si="10"/>
        <v>0.1568190923076922</v>
      </c>
      <c r="U38" s="6">
        <f t="shared" si="10"/>
        <v>0.27181423664122106</v>
      </c>
      <c r="V38" s="6">
        <f t="shared" si="10"/>
        <v>0.38236639080459767</v>
      </c>
      <c r="W38" s="6">
        <f t="shared" si="10"/>
        <v>0.43102591304347815</v>
      </c>
    </row>
    <row r="39" spans="2:27" s="4" customFormat="1" x14ac:dyDescent="0.25">
      <c r="B39" s="2" t="s">
        <v>19</v>
      </c>
      <c r="O39" s="6">
        <f t="shared" ref="O39:W39" si="11">O30*O$33/1000</f>
        <v>0.6294634099616857</v>
      </c>
      <c r="P39" s="6">
        <f t="shared" si="11"/>
        <v>1.2614413793103438</v>
      </c>
      <c r="Q39" s="6">
        <f t="shared" si="11"/>
        <v>2.8979350744274797</v>
      </c>
      <c r="R39" s="6">
        <f t="shared" si="11"/>
        <v>15.417440367816083</v>
      </c>
      <c r="S39" s="6">
        <f t="shared" si="11"/>
        <v>9.2497001884615369</v>
      </c>
      <c r="T39" s="6">
        <f t="shared" si="11"/>
        <v>7.6579990076923021</v>
      </c>
      <c r="U39" s="6">
        <f t="shared" si="11"/>
        <v>26.039803870228972</v>
      </c>
      <c r="V39" s="6">
        <f t="shared" si="11"/>
        <v>31.763722321839076</v>
      </c>
      <c r="W39" s="6">
        <f t="shared" si="11"/>
        <v>32.677152032608689</v>
      </c>
    </row>
    <row r="40" spans="2:27" s="4" customFormat="1" x14ac:dyDescent="0.25">
      <c r="B40" s="2"/>
    </row>
    <row r="41" spans="2:27" s="11" customFormat="1" x14ac:dyDescent="0.25">
      <c r="B41" s="11" t="s">
        <v>26</v>
      </c>
      <c r="O41" s="11">
        <f>O39/0.005</f>
        <v>125.89268199233715</v>
      </c>
      <c r="P41" s="11">
        <f t="shared" ref="P41:W41" si="12">P39/0.005</f>
        <v>252.28827586206876</v>
      </c>
      <c r="Q41" s="11">
        <f t="shared" si="12"/>
        <v>579.58701488549593</v>
      </c>
      <c r="R41" s="11">
        <f t="shared" si="12"/>
        <v>3083.4880735632164</v>
      </c>
      <c r="S41" s="11">
        <f t="shared" si="12"/>
        <v>1849.9400376923074</v>
      </c>
      <c r="T41" s="11">
        <f t="shared" si="12"/>
        <v>1531.5998015384605</v>
      </c>
      <c r="U41" s="11">
        <f>U39/0.005</f>
        <v>5207.9607740457941</v>
      </c>
      <c r="V41" s="11">
        <f t="shared" si="12"/>
        <v>6352.7444643678155</v>
      </c>
      <c r="W41" s="11">
        <f t="shared" si="12"/>
        <v>6535.4304065217375</v>
      </c>
      <c r="X41" s="11">
        <f>W41*(1+X43)</f>
        <v>7842.5164878260848</v>
      </c>
      <c r="Y41" s="11">
        <f t="shared" ref="Y41:AA41" si="13">X41*(1+Y43)</f>
        <v>9411.0197853913014</v>
      </c>
      <c r="Z41" s="11">
        <f t="shared" si="13"/>
        <v>11293.223742469561</v>
      </c>
      <c r="AA41" s="11">
        <f t="shared" si="13"/>
        <v>13551.868490963474</v>
      </c>
    </row>
    <row r="43" spans="2:27" s="9" customFormat="1" x14ac:dyDescent="0.25">
      <c r="B43" s="9" t="s">
        <v>24</v>
      </c>
      <c r="P43" s="8">
        <f t="shared" ref="P43:U43" si="14">P41/O41-1</f>
        <v>1.0039947665697126</v>
      </c>
      <c r="Q43" s="8">
        <f t="shared" si="14"/>
        <v>1.2973204478291658</v>
      </c>
      <c r="R43" s="8">
        <f t="shared" si="14"/>
        <v>4.3201469224985916</v>
      </c>
      <c r="S43" s="8">
        <f t="shared" si="14"/>
        <v>-0.40004955636019235</v>
      </c>
      <c r="T43" s="8">
        <f t="shared" si="14"/>
        <v>-0.17208138083813673</v>
      </c>
      <c r="U43" s="8">
        <f>U41/T41-1</f>
        <v>2.400340460226297</v>
      </c>
      <c r="V43" s="8">
        <f t="shared" ref="V43:W43" si="15">V41/U41-1</f>
        <v>0.21981419215504161</v>
      </c>
      <c r="W43" s="8">
        <f t="shared" si="15"/>
        <v>2.8757010954650664E-2</v>
      </c>
      <c r="X43" s="9">
        <v>0.2</v>
      </c>
      <c r="Y43" s="9">
        <v>0.2</v>
      </c>
      <c r="Z43" s="9">
        <v>0.2</v>
      </c>
      <c r="AA43" s="9">
        <v>0.2</v>
      </c>
    </row>
    <row r="44" spans="2:27" s="9" customFormat="1" x14ac:dyDescent="0.25">
      <c r="P44" s="8"/>
      <c r="Q44" s="8"/>
      <c r="R44" s="8"/>
      <c r="S44" s="8"/>
      <c r="T44" s="8"/>
      <c r="U44" s="8"/>
    </row>
    <row r="45" spans="2:27" s="9" customFormat="1" x14ac:dyDescent="0.25">
      <c r="P45" s="8"/>
      <c r="Q45" s="8"/>
      <c r="R45" s="8"/>
      <c r="S45" s="8"/>
      <c r="T45" s="8"/>
      <c r="U45" s="8"/>
    </row>
    <row r="46" spans="2:27" s="10" customFormat="1" x14ac:dyDescent="0.25">
      <c r="B46" s="10" t="s">
        <v>23</v>
      </c>
      <c r="O46" s="10">
        <f>O41+O22+O3</f>
        <v>15457.048181992337</v>
      </c>
      <c r="P46" s="10">
        <f>P41+P22+P3</f>
        <v>28248.136775862069</v>
      </c>
      <c r="Q46" s="10">
        <f>Q41+Q22+Q3</f>
        <v>36371.303514885498</v>
      </c>
      <c r="R46" s="10">
        <f>R41+R22+R3</f>
        <v>55198.503573563212</v>
      </c>
      <c r="S46" s="10">
        <f>S41+S22+S3</f>
        <v>60358.911537692307</v>
      </c>
      <c r="T46" s="10">
        <f>T41+T22+T3</f>
        <v>71210.661801538459</v>
      </c>
      <c r="U46" s="10">
        <f>U41+U22+U3</f>
        <v>91118.860774045796</v>
      </c>
      <c r="V46" s="10">
        <f t="shared" ref="V46:AA46" si="16">V41+V22+V3</f>
        <v>105638.07446436782</v>
      </c>
      <c r="W46" s="10">
        <f t="shared" si="16"/>
        <v>121298.91390652172</v>
      </c>
      <c r="X46" s="10">
        <f t="shared" si="16"/>
        <v>140522.94731282606</v>
      </c>
      <c r="Y46" s="10">
        <f t="shared" si="16"/>
        <v>162836.42499414127</v>
      </c>
      <c r="Z46" s="10">
        <f t="shared" si="16"/>
        <v>188743.93144453201</v>
      </c>
      <c r="AA46" s="10">
        <f t="shared" si="16"/>
        <v>218833.97240273526</v>
      </c>
    </row>
    <row r="48" spans="2:27" s="12" customFormat="1" x14ac:dyDescent="0.25">
      <c r="B48" s="12" t="s">
        <v>25</v>
      </c>
      <c r="P48" s="12">
        <f>P46/O46-1</f>
        <v>0.82752466339410891</v>
      </c>
      <c r="Q48" s="12">
        <f t="shared" ref="Q48:AA48" si="17">Q46/P46-1</f>
        <v>0.28756469155744968</v>
      </c>
      <c r="R48" s="12">
        <f t="shared" si="17"/>
        <v>0.51763885918942676</v>
      </c>
      <c r="S48" s="12">
        <f t="shared" si="17"/>
        <v>9.3488185911630772E-2</v>
      </c>
      <c r="T48" s="12">
        <f t="shared" si="17"/>
        <v>0.17978704365915488</v>
      </c>
      <c r="U48" s="12">
        <f t="shared" si="17"/>
        <v>0.27956767243633784</v>
      </c>
      <c r="V48" s="12">
        <f t="shared" si="17"/>
        <v>0.15934367009181982</v>
      </c>
      <c r="W48" s="12">
        <f t="shared" si="17"/>
        <v>0.14824995174856559</v>
      </c>
      <c r="X48" s="12">
        <f t="shared" si="17"/>
        <v>0.15848479419295725</v>
      </c>
      <c r="Y48" s="12">
        <f t="shared" si="17"/>
        <v>0.15878885340799131</v>
      </c>
      <c r="Z48" s="12">
        <f t="shared" si="17"/>
        <v>0.15910142003745698</v>
      </c>
      <c r="AA48" s="12">
        <f t="shared" si="17"/>
        <v>0.15942256118070808</v>
      </c>
    </row>
    <row r="50" spans="2:27" x14ac:dyDescent="0.25">
      <c r="B50" s="3" t="s">
        <v>28</v>
      </c>
      <c r="S50" s="12">
        <f>(U46/O46)^(1/7)-1</f>
        <v>0.28845370069757736</v>
      </c>
      <c r="U50" s="3">
        <v>475</v>
      </c>
    </row>
    <row r="51" spans="2:27" x14ac:dyDescent="0.25">
      <c r="B51" s="3" t="s">
        <v>30</v>
      </c>
      <c r="U51" s="3">
        <f>45+16</f>
        <v>61</v>
      </c>
    </row>
    <row r="52" spans="2:27" x14ac:dyDescent="0.25">
      <c r="B52" s="3" t="s">
        <v>29</v>
      </c>
      <c r="U52" s="3">
        <v>115</v>
      </c>
    </row>
    <row r="54" spans="2:27" s="13" customFormat="1" x14ac:dyDescent="0.25">
      <c r="B54" s="13" t="s">
        <v>31</v>
      </c>
      <c r="U54" s="13">
        <f>SUM(U50:U52)</f>
        <v>651</v>
      </c>
    </row>
    <row r="56" spans="2:27" x14ac:dyDescent="0.25">
      <c r="B56" s="3" t="s">
        <v>32</v>
      </c>
      <c r="O56" s="4">
        <f>O46*1000/$U$54</f>
        <v>23743.545594458275</v>
      </c>
      <c r="P56" s="4">
        <f t="shared" ref="P56:AA56" si="18">P46*1000/$U$54</f>
        <v>43391.915170295033</v>
      </c>
      <c r="Q56" s="4">
        <f t="shared" si="18"/>
        <v>55869.897872327958</v>
      </c>
      <c r="R56" s="4">
        <f t="shared" si="18"/>
        <v>84790.328069989569</v>
      </c>
      <c r="S56" s="4">
        <f t="shared" si="18"/>
        <v>92717.222024104922</v>
      </c>
      <c r="T56" s="4">
        <f t="shared" si="18"/>
        <v>109386.57726810822</v>
      </c>
      <c r="U56" s="4">
        <f t="shared" si="18"/>
        <v>139967.52807073086</v>
      </c>
      <c r="V56" s="4">
        <f t="shared" si="18"/>
        <v>162270.46768720096</v>
      </c>
      <c r="W56" s="4">
        <f t="shared" si="18"/>
        <v>186327.05669204565</v>
      </c>
      <c r="X56" s="4">
        <f t="shared" si="18"/>
        <v>215857.06192446401</v>
      </c>
      <c r="Y56" s="4">
        <f t="shared" si="18"/>
        <v>250132.75728746739</v>
      </c>
      <c r="Z56" s="4">
        <f t="shared" si="18"/>
        <v>289929.23416978802</v>
      </c>
      <c r="AA56" s="4">
        <f t="shared" si="18"/>
        <v>336150.49524229689</v>
      </c>
    </row>
    <row r="57" spans="2:27" x14ac:dyDescent="0.25">
      <c r="B57" s="3" t="s">
        <v>33</v>
      </c>
      <c r="U57" s="4">
        <f>AVERAGE(O56:U56)</f>
        <v>78552.430581430686</v>
      </c>
    </row>
    <row r="58" spans="2:27" x14ac:dyDescent="0.25">
      <c r="B58" s="3" t="s">
        <v>34</v>
      </c>
      <c r="U58" s="4">
        <f>U57/12</f>
        <v>6546.0358817858905</v>
      </c>
    </row>
    <row r="59" spans="2:27" x14ac:dyDescent="0.25">
      <c r="U59" s="4"/>
    </row>
    <row r="60" spans="2:27" x14ac:dyDescent="0.25">
      <c r="U60" s="4"/>
    </row>
    <row r="62" spans="2:27" s="8" customFormat="1" x14ac:dyDescent="0.25">
      <c r="B62" s="8" t="s">
        <v>36</v>
      </c>
      <c r="C62" s="8">
        <v>5.0000000000000001E-3</v>
      </c>
      <c r="D62" s="12">
        <f>+C62+0.01</f>
        <v>1.4999999999999999E-2</v>
      </c>
      <c r="E62" s="12">
        <f t="shared" ref="E62:W62" si="19">+D62+0.01</f>
        <v>2.5000000000000001E-2</v>
      </c>
      <c r="F62" s="12">
        <f t="shared" si="19"/>
        <v>3.5000000000000003E-2</v>
      </c>
      <c r="G62" s="12">
        <f t="shared" si="19"/>
        <v>4.5000000000000005E-2</v>
      </c>
      <c r="H62" s="12">
        <f t="shared" si="19"/>
        <v>5.5000000000000007E-2</v>
      </c>
      <c r="I62" s="12">
        <f t="shared" si="19"/>
        <v>6.5000000000000002E-2</v>
      </c>
      <c r="J62" s="12">
        <f t="shared" si="19"/>
        <v>7.4999999999999997E-2</v>
      </c>
      <c r="K62" s="12">
        <f t="shared" si="19"/>
        <v>8.4999999999999992E-2</v>
      </c>
      <c r="L62" s="12">
        <f t="shared" si="19"/>
        <v>9.4999999999999987E-2</v>
      </c>
      <c r="M62" s="12">
        <f t="shared" si="19"/>
        <v>0.10499999999999998</v>
      </c>
      <c r="N62" s="12">
        <f t="shared" si="19"/>
        <v>0.11499999999999998</v>
      </c>
      <c r="O62" s="12">
        <f t="shared" si="19"/>
        <v>0.12499999999999997</v>
      </c>
      <c r="P62" s="12">
        <f t="shared" si="19"/>
        <v>0.13499999999999998</v>
      </c>
      <c r="Q62" s="12">
        <f t="shared" si="19"/>
        <v>0.14499999999999999</v>
      </c>
      <c r="R62" s="12">
        <f t="shared" si="19"/>
        <v>0.155</v>
      </c>
      <c r="S62" s="12">
        <f t="shared" si="19"/>
        <v>0.16500000000000001</v>
      </c>
      <c r="T62" s="12">
        <f t="shared" si="19"/>
        <v>0.17500000000000002</v>
      </c>
      <c r="U62" s="12">
        <f t="shared" si="19"/>
        <v>0.18500000000000003</v>
      </c>
      <c r="V62" s="12">
        <f t="shared" si="19"/>
        <v>0.19500000000000003</v>
      </c>
      <c r="W62" s="12">
        <f t="shared" si="19"/>
        <v>0.20500000000000004</v>
      </c>
    </row>
    <row r="63" spans="2:27" s="4" customFormat="1" x14ac:dyDescent="0.25">
      <c r="B63" s="4" t="s">
        <v>35</v>
      </c>
      <c r="C63" s="4">
        <f>C62*$U$54*1000</f>
        <v>3255</v>
      </c>
      <c r="D63" s="4">
        <f t="shared" ref="D63:W63" si="20">D62*$U$54*1000</f>
        <v>9764.9999999999982</v>
      </c>
      <c r="E63" s="4">
        <f t="shared" si="20"/>
        <v>16275.000000000002</v>
      </c>
      <c r="F63" s="4">
        <f t="shared" si="20"/>
        <v>22785.000000000004</v>
      </c>
      <c r="G63" s="4">
        <f t="shared" si="20"/>
        <v>29295</v>
      </c>
      <c r="H63" s="4">
        <f t="shared" si="20"/>
        <v>35805.000000000007</v>
      </c>
      <c r="I63" s="4">
        <f t="shared" si="20"/>
        <v>42315.000000000007</v>
      </c>
      <c r="J63" s="4">
        <f t="shared" si="20"/>
        <v>48824.999999999993</v>
      </c>
      <c r="K63" s="4">
        <f t="shared" si="20"/>
        <v>55334.999999999993</v>
      </c>
      <c r="L63" s="4">
        <f t="shared" si="20"/>
        <v>61844.999999999993</v>
      </c>
      <c r="M63" s="4">
        <f t="shared" si="20"/>
        <v>68354.999999999985</v>
      </c>
      <c r="N63" s="4">
        <f t="shared" si="20"/>
        <v>74864.999999999985</v>
      </c>
      <c r="O63" s="4">
        <f t="shared" si="20"/>
        <v>81374.999999999985</v>
      </c>
      <c r="P63" s="4">
        <f t="shared" si="20"/>
        <v>87884.999999999985</v>
      </c>
      <c r="Q63" s="4">
        <f t="shared" si="20"/>
        <v>94395</v>
      </c>
      <c r="R63" s="4">
        <f t="shared" si="20"/>
        <v>100905</v>
      </c>
      <c r="S63" s="4">
        <f t="shared" si="20"/>
        <v>107415</v>
      </c>
      <c r="T63" s="4">
        <f t="shared" si="20"/>
        <v>113925.00000000001</v>
      </c>
      <c r="U63" s="4">
        <f t="shared" si="20"/>
        <v>120435.00000000001</v>
      </c>
      <c r="V63" s="4">
        <f t="shared" si="20"/>
        <v>126945.00000000001</v>
      </c>
      <c r="W63" s="4">
        <f t="shared" si="20"/>
        <v>133455.00000000003</v>
      </c>
    </row>
    <row r="64" spans="2:27" x14ac:dyDescent="0.25">
      <c r="B64" s="3" t="s">
        <v>39</v>
      </c>
      <c r="C64" s="4">
        <f>C63*$U$58/1000000</f>
        <v>21.307346795213075</v>
      </c>
      <c r="D64" s="4">
        <f t="shared" ref="D64:W64" si="21">D63*$U$58/1000000</f>
        <v>63.922040385639207</v>
      </c>
      <c r="E64" s="4">
        <f t="shared" si="21"/>
        <v>106.53673397606538</v>
      </c>
      <c r="F64" s="4">
        <f t="shared" si="21"/>
        <v>149.15142756649155</v>
      </c>
      <c r="G64" s="4">
        <f t="shared" si="21"/>
        <v>191.76612115691765</v>
      </c>
      <c r="H64" s="4">
        <f t="shared" si="21"/>
        <v>234.38081474734386</v>
      </c>
      <c r="I64" s="4">
        <f t="shared" si="21"/>
        <v>276.99550833776999</v>
      </c>
      <c r="J64" s="4">
        <f t="shared" si="21"/>
        <v>319.61020192819609</v>
      </c>
      <c r="K64" s="4">
        <f t="shared" si="21"/>
        <v>362.22489551862225</v>
      </c>
      <c r="L64" s="4">
        <f t="shared" si="21"/>
        <v>404.83958910904835</v>
      </c>
      <c r="M64" s="4">
        <f t="shared" si="21"/>
        <v>447.45428269947445</v>
      </c>
      <c r="N64" s="4">
        <f t="shared" si="21"/>
        <v>490.0689762899006</v>
      </c>
      <c r="O64" s="4">
        <f t="shared" si="21"/>
        <v>532.68366988032676</v>
      </c>
      <c r="P64" s="4">
        <f t="shared" si="21"/>
        <v>575.29836347075286</v>
      </c>
      <c r="Q64" s="4">
        <f t="shared" si="21"/>
        <v>617.91305706117919</v>
      </c>
      <c r="R64" s="4">
        <f t="shared" si="21"/>
        <v>660.52775065160529</v>
      </c>
      <c r="S64" s="4">
        <f t="shared" si="21"/>
        <v>703.1424442420315</v>
      </c>
      <c r="T64" s="4">
        <f t="shared" si="21"/>
        <v>745.75713783245772</v>
      </c>
      <c r="U64" s="4">
        <f t="shared" si="21"/>
        <v>788.37183142288382</v>
      </c>
      <c r="V64" s="4">
        <f t="shared" si="21"/>
        <v>830.98652501330992</v>
      </c>
      <c r="W64" s="4">
        <f t="shared" si="21"/>
        <v>873.60121860373613</v>
      </c>
    </row>
    <row r="65" spans="2:23" x14ac:dyDescent="0.25">
      <c r="B65" s="3" t="s">
        <v>37</v>
      </c>
      <c r="C65" s="9">
        <v>0.01</v>
      </c>
    </row>
    <row r="66" spans="2:23" s="7" customFormat="1" x14ac:dyDescent="0.25">
      <c r="B66" s="7" t="s">
        <v>38</v>
      </c>
      <c r="C66" s="7">
        <f>C64*$C$65</f>
        <v>0.21307346795213075</v>
      </c>
      <c r="D66" s="7">
        <f t="shared" ref="D66:W66" si="22">D64*$C$65</f>
        <v>0.63922040385639212</v>
      </c>
      <c r="E66" s="7">
        <f t="shared" si="22"/>
        <v>1.0653673397606538</v>
      </c>
      <c r="F66" s="7">
        <f t="shared" si="22"/>
        <v>1.4915142756649156</v>
      </c>
      <c r="G66" s="7">
        <f t="shared" si="22"/>
        <v>1.9176612115691765</v>
      </c>
      <c r="H66" s="7">
        <f t="shared" si="22"/>
        <v>2.3438081474734385</v>
      </c>
      <c r="I66" s="7">
        <f t="shared" si="22"/>
        <v>2.7699550833776998</v>
      </c>
      <c r="J66" s="7">
        <f t="shared" si="22"/>
        <v>3.1961020192819611</v>
      </c>
      <c r="K66" s="7">
        <f t="shared" si="22"/>
        <v>3.6222489551862225</v>
      </c>
      <c r="L66" s="7">
        <f t="shared" si="22"/>
        <v>4.0483958910904834</v>
      </c>
      <c r="M66" s="7">
        <f t="shared" si="22"/>
        <v>4.4745428269947443</v>
      </c>
      <c r="N66" s="7">
        <f t="shared" si="22"/>
        <v>4.900689762899006</v>
      </c>
      <c r="O66" s="7">
        <f t="shared" si="22"/>
        <v>5.3268366988032678</v>
      </c>
      <c r="P66" s="7">
        <f t="shared" si="22"/>
        <v>5.7529836347075287</v>
      </c>
      <c r="Q66" s="7">
        <f t="shared" si="22"/>
        <v>6.1791305706117923</v>
      </c>
      <c r="R66" s="7">
        <f t="shared" si="22"/>
        <v>6.6052775065160532</v>
      </c>
      <c r="S66" s="7">
        <f t="shared" si="22"/>
        <v>7.0314244424203149</v>
      </c>
      <c r="T66" s="7">
        <f t="shared" si="22"/>
        <v>7.4575713783245776</v>
      </c>
      <c r="U66" s="7">
        <f t="shared" si="22"/>
        <v>7.8837183142288385</v>
      </c>
      <c r="V66" s="7">
        <f t="shared" si="22"/>
        <v>8.3098652501330985</v>
      </c>
      <c r="W66" s="7">
        <f t="shared" si="22"/>
        <v>8.7360121860373621</v>
      </c>
    </row>
  </sheetData>
  <phoneticPr fontId="5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2026-05-25T09:22:45Z</dcterms:modified>
</cp:coreProperties>
</file>